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kamaharjan/Downloads/"/>
    </mc:Choice>
  </mc:AlternateContent>
  <xr:revisionPtr revIDLastSave="0" documentId="8_{8AE0403C-956C-204D-BD00-F5ABD003D82B}" xr6:coauthVersionLast="47" xr6:coauthVersionMax="47" xr10:uidLastSave="{00000000-0000-0000-0000-000000000000}"/>
  <bookViews>
    <workbookView xWindow="15120" yWindow="660" windowWidth="15120" windowHeight="17480" activeTab="3" xr2:uid="{3F4311FF-E5CB-1741-81B9-F54583D62636}"/>
  </bookViews>
  <sheets>
    <sheet name="Check1" sheetId="1" r:id="rId1"/>
    <sheet name="Milk" sheetId="2" r:id="rId2"/>
    <sheet name="C4" sheetId="3" r:id="rId3"/>
    <sheet name="C5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D7" i="4"/>
  <c r="D6" i="4"/>
  <c r="H5" i="4"/>
  <c r="D5" i="4"/>
  <c r="D4" i="4"/>
  <c r="H3" i="4"/>
  <c r="D3" i="4"/>
  <c r="I2" i="4"/>
  <c r="J2" i="4" s="1"/>
  <c r="G3" i="4" s="1"/>
  <c r="H2" i="4"/>
  <c r="E2" i="4"/>
  <c r="F2" i="4" s="1"/>
  <c r="C3" i="4" s="1"/>
  <c r="D2" i="4"/>
  <c r="D9" i="4" s="1"/>
  <c r="J9" i="3"/>
  <c r="H9" i="3"/>
  <c r="H3" i="3"/>
  <c r="I3" i="3"/>
  <c r="J3" i="3" s="1"/>
  <c r="G4" i="3" s="1"/>
  <c r="H5" i="3"/>
  <c r="H7" i="3"/>
  <c r="F9" i="3"/>
  <c r="D9" i="3"/>
  <c r="D3" i="3"/>
  <c r="E3" i="3"/>
  <c r="F3" i="3"/>
  <c r="C4" i="3" s="1"/>
  <c r="D4" i="3"/>
  <c r="D5" i="3"/>
  <c r="D6" i="3"/>
  <c r="D7" i="3"/>
  <c r="G3" i="3"/>
  <c r="C3" i="3"/>
  <c r="J2" i="3"/>
  <c r="I2" i="3"/>
  <c r="H2" i="3"/>
  <c r="F2" i="3"/>
  <c r="E2" i="3"/>
  <c r="D2" i="3"/>
  <c r="B17" i="2"/>
  <c r="B16" i="2"/>
  <c r="B5" i="2"/>
  <c r="B6" i="2"/>
  <c r="B7" i="2" s="1"/>
  <c r="B8" i="2" s="1"/>
  <c r="B10" i="2" s="1"/>
  <c r="B9" i="2"/>
  <c r="B11" i="2"/>
  <c r="B12" i="2"/>
  <c r="C3" i="2"/>
  <c r="C2" i="2"/>
  <c r="C1" i="2"/>
  <c r="B12" i="1"/>
  <c r="B15" i="1" s="1"/>
  <c r="B6" i="1"/>
  <c r="B9" i="1" s="1"/>
  <c r="B5" i="1"/>
  <c r="B7" i="1"/>
  <c r="B8" i="1" s="1"/>
  <c r="B10" i="1"/>
  <c r="D3" i="1"/>
  <c r="D2" i="1"/>
  <c r="C3" i="1"/>
  <c r="C2" i="1"/>
  <c r="I3" i="4" l="1"/>
  <c r="J3" i="4" s="1"/>
  <c r="G4" i="4" s="1"/>
  <c r="E3" i="4"/>
  <c r="F3" i="4" s="1"/>
  <c r="C4" i="4" s="1"/>
  <c r="H4" i="3"/>
  <c r="I4" i="3"/>
  <c r="J4" i="3" s="1"/>
  <c r="G5" i="3" s="1"/>
  <c r="E4" i="3"/>
  <c r="F4" i="3" s="1"/>
  <c r="C5" i="3" s="1"/>
  <c r="B14" i="2"/>
  <c r="B13" i="2"/>
  <c r="B11" i="1"/>
  <c r="B14" i="1"/>
  <c r="B13" i="1"/>
  <c r="B18" i="1"/>
  <c r="B17" i="1"/>
  <c r="B16" i="1"/>
  <c r="E4" i="4" l="1"/>
  <c r="F4" i="4" s="1"/>
  <c r="C5" i="4" s="1"/>
  <c r="H4" i="4"/>
  <c r="I4" i="4"/>
  <c r="J4" i="4" s="1"/>
  <c r="G5" i="4" s="1"/>
  <c r="I5" i="3"/>
  <c r="J5" i="3"/>
  <c r="G6" i="3" s="1"/>
  <c r="E5" i="3"/>
  <c r="F5" i="3" s="1"/>
  <c r="C6" i="3" s="1"/>
  <c r="I5" i="4" l="1"/>
  <c r="J5" i="4" s="1"/>
  <c r="G6" i="4" s="1"/>
  <c r="E5" i="4"/>
  <c r="F5" i="4" s="1"/>
  <c r="C6" i="4" s="1"/>
  <c r="I6" i="3"/>
  <c r="J6" i="3"/>
  <c r="H6" i="3"/>
  <c r="E6" i="3"/>
  <c r="F6" i="3"/>
  <c r="C7" i="3" s="1"/>
  <c r="E6" i="4" l="1"/>
  <c r="F6" i="4"/>
  <c r="C7" i="4" s="1"/>
  <c r="I6" i="4"/>
  <c r="H6" i="4"/>
  <c r="H9" i="4" s="1"/>
  <c r="J6" i="4"/>
  <c r="G7" i="3"/>
  <c r="E7" i="3"/>
  <c r="F7" i="3" s="1"/>
  <c r="G7" i="4" l="1"/>
  <c r="I7" i="4"/>
  <c r="J7" i="4"/>
  <c r="J9" i="4" s="1"/>
  <c r="E7" i="4"/>
  <c r="F7" i="4" s="1"/>
  <c r="F9" i="4" s="1"/>
  <c r="I7" i="3"/>
  <c r="J7" i="3" s="1"/>
</calcChain>
</file>

<file path=xl/sharedStrings.xml><?xml version="1.0" encoding="utf-8"?>
<sst xmlns="http://schemas.openxmlformats.org/spreadsheetml/2006/main" count="38" uniqueCount="28">
  <si>
    <t>Round</t>
  </si>
  <si>
    <t>Sales</t>
  </si>
  <si>
    <t>Weight</t>
  </si>
  <si>
    <t>Daily</t>
  </si>
  <si>
    <t>Forecast</t>
  </si>
  <si>
    <t>Forecast rounded</t>
  </si>
  <si>
    <t>Spread of daily sales</t>
  </si>
  <si>
    <t>Buffer (cycle days 3, plus 3)</t>
  </si>
  <si>
    <t>MD61 target</t>
  </si>
  <si>
    <t>On hand</t>
  </si>
  <si>
    <t>Expected MRP need</t>
  </si>
  <si>
    <t>Daily forecast</t>
  </si>
  <si>
    <t>Push North</t>
  </si>
  <si>
    <t>Push South</t>
  </si>
  <si>
    <t>Push West</t>
  </si>
  <si>
    <t>Pull North</t>
  </si>
  <si>
    <t>Pull South</t>
  </si>
  <si>
    <t>Pull West</t>
  </si>
  <si>
    <t>Day</t>
  </si>
  <si>
    <t>Demand</t>
  </si>
  <si>
    <t>Push open</t>
  </si>
  <si>
    <t>Push ship</t>
  </si>
  <si>
    <t>Push sold</t>
  </si>
  <si>
    <t>Push close</t>
  </si>
  <si>
    <t>Pull open</t>
  </si>
  <si>
    <t>Pull ship</t>
  </si>
  <si>
    <t>Pull sold</t>
  </si>
  <si>
    <t>Pull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</si>
</sst>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86BD-FA1A-CA46-AF74-D47C3BB8522E}">
  <dimension ref="A1:D18"/>
  <sheetViews>
    <sheetView topLeftCell="A2" zoomScale="159" workbookViewId="0">
      <selection activeCell="D13" sqref="D13"/>
    </sheetView>
  </sheetViews>
  <sheetFormatPr baseColWidth="10" defaultRowHeight="16" x14ac:dyDescent="0.2"/>
  <cols>
    <col min="1" max="1" width="23.33203125" bestFit="1" customWidth="1"/>
    <col min="2" max="2" width="6.1640625" bestFit="1" customWidth="1"/>
    <col min="3" max="3" width="6.83203125" bestFit="1" customWidth="1"/>
    <col min="4" max="4" width="5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100</v>
      </c>
      <c r="C2">
        <f>0.3/0.8</f>
        <v>0.37499999999999994</v>
      </c>
      <c r="D2">
        <f>B2/10</f>
        <v>10</v>
      </c>
    </row>
    <row r="3" spans="1:4" x14ac:dyDescent="0.2">
      <c r="A3">
        <v>2</v>
      </c>
      <c r="B3">
        <v>120</v>
      </c>
      <c r="C3">
        <f>0.5/0.8</f>
        <v>0.625</v>
      </c>
      <c r="D3">
        <f>B3/10</f>
        <v>12</v>
      </c>
    </row>
    <row r="5" spans="1:4" ht="17" x14ac:dyDescent="0.25">
      <c r="A5" t="s">
        <v>4</v>
      </c>
      <c r="B5" s="1">
        <f>B2*C2+B3*C3</f>
        <v>112.5</v>
      </c>
    </row>
    <row r="6" spans="1:4" ht="17" x14ac:dyDescent="0.25">
      <c r="A6" t="s">
        <v>5</v>
      </c>
      <c r="B6" s="1">
        <f>ROUND(B5,0)</f>
        <v>113</v>
      </c>
    </row>
    <row r="7" spans="1:4" ht="17" x14ac:dyDescent="0.25">
      <c r="A7" t="s">
        <v>6</v>
      </c>
      <c r="B7" s="1">
        <f>_xlfn.STDEV.P(D2:D3)</f>
        <v>1</v>
      </c>
    </row>
    <row r="8" spans="1:4" ht="17" x14ac:dyDescent="0.25">
      <c r="A8" t="s">
        <v>7</v>
      </c>
      <c r="B8" s="1">
        <f>ROUNDUP(B7*SQRT(3+3),0)</f>
        <v>3</v>
      </c>
    </row>
    <row r="9" spans="1:4" ht="17" x14ac:dyDescent="0.25">
      <c r="A9" t="s">
        <v>8</v>
      </c>
      <c r="B9" s="1">
        <f>B6+B8</f>
        <v>116</v>
      </c>
    </row>
    <row r="10" spans="1:4" ht="17" x14ac:dyDescent="0.25">
      <c r="A10" t="s">
        <v>9</v>
      </c>
      <c r="B10" s="1">
        <f>10+5+2+1</f>
        <v>18</v>
      </c>
    </row>
    <row r="11" spans="1:4" ht="17" x14ac:dyDescent="0.25">
      <c r="A11" t="s">
        <v>10</v>
      </c>
      <c r="B11" s="1">
        <f>B9-B10-3</f>
        <v>95</v>
      </c>
    </row>
    <row r="12" spans="1:4" ht="17" x14ac:dyDescent="0.25">
      <c r="A12" t="s">
        <v>11</v>
      </c>
      <c r="B12" s="1">
        <f>B5/10</f>
        <v>11.25</v>
      </c>
    </row>
    <row r="13" spans="1:4" ht="17" x14ac:dyDescent="0.25">
      <c r="A13" t="s">
        <v>12</v>
      </c>
      <c r="B13" s="1">
        <f>ROUNDUP(B12*3*0.5,0)</f>
        <v>17</v>
      </c>
    </row>
    <row r="14" spans="1:4" ht="17" x14ac:dyDescent="0.25">
      <c r="A14" t="s">
        <v>13</v>
      </c>
      <c r="B14" s="1">
        <f>ROUNDUP(B12*3*0.3,0)</f>
        <v>11</v>
      </c>
    </row>
    <row r="15" spans="1:4" ht="17" x14ac:dyDescent="0.25">
      <c r="A15" t="s">
        <v>14</v>
      </c>
      <c r="B15" s="1">
        <f>ROUNDUP(B12*3*0.2,0)</f>
        <v>7</v>
      </c>
    </row>
    <row r="16" spans="1:4" ht="17" x14ac:dyDescent="0.25">
      <c r="A16" t="s">
        <v>15</v>
      </c>
      <c r="B16" s="1">
        <f>ROUNDUP(B12*3*0.5+B8*0.5,0)</f>
        <v>19</v>
      </c>
    </row>
    <row r="17" spans="1:2" ht="17" x14ac:dyDescent="0.25">
      <c r="A17" t="s">
        <v>16</v>
      </c>
      <c r="B17" s="1">
        <f>ROUNDUP(B12*3*0.3+B8*0.3,0)</f>
        <v>12</v>
      </c>
    </row>
    <row r="18" spans="1:2" ht="17" x14ac:dyDescent="0.25">
      <c r="A18" t="s">
        <v>17</v>
      </c>
      <c r="B18" s="1">
        <f>ROUNDUP(B12*3*0.2+B8*0.2,0)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FA8F-A0C0-2246-82E0-213CA7D0C39F}">
  <dimension ref="B1:C17"/>
  <sheetViews>
    <sheetView workbookViewId="0">
      <selection activeCell="C23" sqref="C23"/>
    </sheetView>
  </sheetViews>
  <sheetFormatPr baseColWidth="10" defaultRowHeight="16" x14ac:dyDescent="0.2"/>
  <sheetData>
    <row r="1" spans="2:3" x14ac:dyDescent="0.2">
      <c r="B1">
        <v>892</v>
      </c>
      <c r="C1">
        <f>B1/10</f>
        <v>89.2</v>
      </c>
    </row>
    <row r="2" spans="2:3" x14ac:dyDescent="0.2">
      <c r="B2">
        <v>1218</v>
      </c>
      <c r="C2">
        <f>B2/10</f>
        <v>121.8</v>
      </c>
    </row>
    <row r="3" spans="2:3" x14ac:dyDescent="0.2">
      <c r="B3">
        <v>711</v>
      </c>
      <c r="C3">
        <f>B3/10</f>
        <v>71.099999999999994</v>
      </c>
    </row>
    <row r="5" spans="2:3" ht="17" x14ac:dyDescent="0.25">
      <c r="B5" s="1">
        <f>0.2*B1+0.3*B2+0.5*B3</f>
        <v>899.3</v>
      </c>
    </row>
    <row r="6" spans="2:3" ht="17" x14ac:dyDescent="0.25">
      <c r="B6" s="1">
        <f>_xlfn.STDEV.P(C1:C3)</f>
        <v>20.978454555937958</v>
      </c>
    </row>
    <row r="7" spans="2:3" ht="17" x14ac:dyDescent="0.25">
      <c r="B7" s="1">
        <f>ROUNDUP(B6*SQRT(2+3),0)</f>
        <v>47</v>
      </c>
    </row>
    <row r="8" spans="2:3" ht="17" x14ac:dyDescent="0.25">
      <c r="B8" s="1">
        <f>ROUND(B5,0)+B7</f>
        <v>946</v>
      </c>
      <c r="C8" s="2"/>
    </row>
    <row r="9" spans="2:3" ht="17" x14ac:dyDescent="0.25">
      <c r="B9" s="1">
        <f>0+0+176+105</f>
        <v>281</v>
      </c>
    </row>
    <row r="10" spans="2:3" ht="17" x14ac:dyDescent="0.25">
      <c r="B10" s="1">
        <f>B8-B9-0</f>
        <v>665</v>
      </c>
      <c r="C10" s="2"/>
    </row>
    <row r="11" spans="2:3" ht="17" x14ac:dyDescent="0.25">
      <c r="B11" s="1">
        <f>B5/10</f>
        <v>89.929999999999993</v>
      </c>
    </row>
    <row r="12" spans="2:3" ht="17" x14ac:dyDescent="0.25">
      <c r="B12" s="1">
        <f>1643/(1643+427+751)</f>
        <v>0.58241758241758246</v>
      </c>
    </row>
    <row r="13" spans="2:3" ht="17" x14ac:dyDescent="0.25">
      <c r="B13" s="1">
        <f>ROUNDUP(B11*2*B12,0)</f>
        <v>105</v>
      </c>
      <c r="C13" s="2"/>
    </row>
    <row r="14" spans="2:3" ht="17" x14ac:dyDescent="0.25">
      <c r="B14" s="1">
        <f>ROUNDUP(B11*2*B12+B7*B12,0)</f>
        <v>133</v>
      </c>
      <c r="C14" s="2"/>
    </row>
    <row r="16" spans="2:3" x14ac:dyDescent="0.2">
      <c r="B16" s="3">
        <f>665+0+1179+170+326+63</f>
        <v>2403</v>
      </c>
    </row>
    <row r="17" spans="2:2" x14ac:dyDescent="0.2">
      <c r="B17" s="3">
        <f>665*22.95+0*72.07+1179*25.85+170*82.68+326*59.88+63*43.15</f>
        <v>82033.83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7428-D0C1-A540-A2D9-6F1E225926E7}">
  <dimension ref="A1:J9"/>
  <sheetViews>
    <sheetView workbookViewId="0">
      <selection sqref="A1:K11"/>
    </sheetView>
  </sheetViews>
  <sheetFormatPr baseColWidth="10" defaultRowHeight="16" x14ac:dyDescent="0.2"/>
  <sheetData>
    <row r="1" spans="1:10" s="3" customFormat="1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</row>
    <row r="2" spans="1:10" x14ac:dyDescent="0.2">
      <c r="A2">
        <v>1</v>
      </c>
      <c r="B2">
        <v>50</v>
      </c>
      <c r="C2">
        <v>100</v>
      </c>
      <c r="D2">
        <f>IF(MOD(A2,2)=1,100,0)</f>
        <v>100</v>
      </c>
      <c r="E2">
        <f>MIN(C2,B2)</f>
        <v>50</v>
      </c>
      <c r="F2">
        <f>C2-E2</f>
        <v>50</v>
      </c>
      <c r="G2">
        <v>100</v>
      </c>
      <c r="H2">
        <f>IF(MOD(A2,2)=1,MAX(0,200-G2),0)</f>
        <v>100</v>
      </c>
      <c r="I2">
        <f>MIN(G2,B2)</f>
        <v>50</v>
      </c>
      <c r="J2">
        <f>G2-I2</f>
        <v>50</v>
      </c>
    </row>
    <row r="3" spans="1:10" x14ac:dyDescent="0.2">
      <c r="A3">
        <v>2</v>
      </c>
      <c r="B3">
        <v>50</v>
      </c>
      <c r="C3">
        <f>F2+D2</f>
        <v>150</v>
      </c>
      <c r="D3">
        <f t="shared" ref="D3:D7" si="0">IF(MOD(A3,2)=1,100,0)</f>
        <v>0</v>
      </c>
      <c r="E3">
        <f t="shared" ref="E3:E7" si="1">MIN(C3,B3)</f>
        <v>50</v>
      </c>
      <c r="F3">
        <f t="shared" ref="F3:F7" si="2">C3-E3</f>
        <v>100</v>
      </c>
      <c r="G3">
        <f>J2+H2</f>
        <v>150</v>
      </c>
      <c r="H3">
        <f t="shared" ref="H3:H7" si="3">IF(MOD(A3,2)=1,MAX(0,200-G3),0)</f>
        <v>0</v>
      </c>
      <c r="I3">
        <f t="shared" ref="I3:I7" si="4">MIN(G3,B3)</f>
        <v>50</v>
      </c>
      <c r="J3">
        <f t="shared" ref="J3:J7" si="5">G3-I3</f>
        <v>100</v>
      </c>
    </row>
    <row r="4" spans="1:10" x14ac:dyDescent="0.2">
      <c r="A4">
        <v>3</v>
      </c>
      <c r="B4">
        <v>20</v>
      </c>
      <c r="C4">
        <f t="shared" ref="C4:C7" si="6">F3+D3</f>
        <v>100</v>
      </c>
      <c r="D4">
        <f t="shared" si="0"/>
        <v>100</v>
      </c>
      <c r="E4">
        <f t="shared" si="1"/>
        <v>20</v>
      </c>
      <c r="F4">
        <f t="shared" si="2"/>
        <v>80</v>
      </c>
      <c r="G4">
        <f t="shared" ref="G4:G7" si="7">J3+H3</f>
        <v>100</v>
      </c>
      <c r="H4">
        <f t="shared" si="3"/>
        <v>100</v>
      </c>
      <c r="I4">
        <f t="shared" si="4"/>
        <v>20</v>
      </c>
      <c r="J4">
        <f t="shared" si="5"/>
        <v>80</v>
      </c>
    </row>
    <row r="5" spans="1:10" x14ac:dyDescent="0.2">
      <c r="A5">
        <v>4</v>
      </c>
      <c r="B5">
        <v>20</v>
      </c>
      <c r="C5">
        <f t="shared" si="6"/>
        <v>180</v>
      </c>
      <c r="D5">
        <f t="shared" si="0"/>
        <v>0</v>
      </c>
      <c r="E5">
        <f t="shared" si="1"/>
        <v>20</v>
      </c>
      <c r="F5">
        <f t="shared" si="2"/>
        <v>160</v>
      </c>
      <c r="G5">
        <f t="shared" si="7"/>
        <v>180</v>
      </c>
      <c r="H5">
        <f t="shared" si="3"/>
        <v>0</v>
      </c>
      <c r="I5">
        <f t="shared" si="4"/>
        <v>20</v>
      </c>
      <c r="J5">
        <f t="shared" si="5"/>
        <v>160</v>
      </c>
    </row>
    <row r="6" spans="1:10" x14ac:dyDescent="0.2">
      <c r="A6">
        <v>5</v>
      </c>
      <c r="B6">
        <v>20</v>
      </c>
      <c r="C6">
        <f t="shared" si="6"/>
        <v>160</v>
      </c>
      <c r="D6">
        <f t="shared" si="0"/>
        <v>100</v>
      </c>
      <c r="E6">
        <f t="shared" si="1"/>
        <v>20</v>
      </c>
      <c r="F6">
        <f t="shared" si="2"/>
        <v>140</v>
      </c>
      <c r="G6">
        <f t="shared" si="7"/>
        <v>160</v>
      </c>
      <c r="H6">
        <f t="shared" si="3"/>
        <v>40</v>
      </c>
      <c r="I6">
        <f t="shared" si="4"/>
        <v>20</v>
      </c>
      <c r="J6">
        <f t="shared" si="5"/>
        <v>140</v>
      </c>
    </row>
    <row r="7" spans="1:10" x14ac:dyDescent="0.2">
      <c r="A7">
        <v>6</v>
      </c>
      <c r="B7">
        <v>20</v>
      </c>
      <c r="C7">
        <f t="shared" si="6"/>
        <v>240</v>
      </c>
      <c r="D7">
        <f t="shared" si="0"/>
        <v>0</v>
      </c>
      <c r="E7">
        <f t="shared" si="1"/>
        <v>20</v>
      </c>
      <c r="F7">
        <f t="shared" si="2"/>
        <v>220</v>
      </c>
      <c r="G7">
        <f t="shared" si="7"/>
        <v>180</v>
      </c>
      <c r="H7">
        <f t="shared" si="3"/>
        <v>0</v>
      </c>
      <c r="I7">
        <f t="shared" si="4"/>
        <v>20</v>
      </c>
      <c r="J7">
        <f t="shared" si="5"/>
        <v>160</v>
      </c>
    </row>
    <row r="9" spans="1:10" x14ac:dyDescent="0.2">
      <c r="D9">
        <f>SUM(D2:D7)</f>
        <v>300</v>
      </c>
      <c r="F9">
        <f>F7</f>
        <v>220</v>
      </c>
      <c r="H9">
        <f>SUM(H2:H7)</f>
        <v>240</v>
      </c>
      <c r="J9">
        <f>J7</f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21C7-31EA-FA4C-A8E3-4D79A0294CA5}">
  <dimension ref="A1:K9"/>
  <sheetViews>
    <sheetView tabSelected="1" workbookViewId="0">
      <selection activeCell="B13" sqref="B13"/>
    </sheetView>
  </sheetViews>
  <sheetFormatPr baseColWidth="10" defaultRowHeight="16" x14ac:dyDescent="0.2"/>
  <sheetData>
    <row r="1" spans="1:11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/>
    </row>
    <row r="2" spans="1:11" x14ac:dyDescent="0.2">
      <c r="A2">
        <v>1</v>
      </c>
      <c r="B2">
        <v>50</v>
      </c>
      <c r="C2">
        <v>100</v>
      </c>
      <c r="D2">
        <f>IF(MOD(A2,2)=1,100,0)</f>
        <v>100</v>
      </c>
      <c r="E2">
        <f>MIN(C2,B2)</f>
        <v>50</v>
      </c>
      <c r="F2">
        <f>C2-E2</f>
        <v>50</v>
      </c>
      <c r="G2">
        <v>100</v>
      </c>
      <c r="H2">
        <f>IF(MOD(A2,2)=1,MAX(0,200-G2),0)</f>
        <v>100</v>
      </c>
      <c r="I2">
        <f>MIN(G2,B2)</f>
        <v>50</v>
      </c>
      <c r="J2">
        <f>G2-I2</f>
        <v>50</v>
      </c>
    </row>
    <row r="3" spans="1:11" x14ac:dyDescent="0.2">
      <c r="A3">
        <v>2</v>
      </c>
      <c r="B3">
        <v>50</v>
      </c>
      <c r="C3">
        <f>F2+D2</f>
        <v>150</v>
      </c>
      <c r="D3">
        <f t="shared" ref="D3:D7" si="0">IF(MOD(A3,2)=1,100,0)</f>
        <v>0</v>
      </c>
      <c r="E3">
        <f t="shared" ref="E3:E7" si="1">MIN(C3,B3)</f>
        <v>50</v>
      </c>
      <c r="F3">
        <f t="shared" ref="F3:F7" si="2">C3-E3</f>
        <v>100</v>
      </c>
      <c r="G3">
        <f>J2+H2</f>
        <v>150</v>
      </c>
      <c r="H3">
        <f t="shared" ref="H3:H7" si="3">IF(MOD(A3,2)=1,MAX(0,200-G3),0)</f>
        <v>0</v>
      </c>
      <c r="I3">
        <f t="shared" ref="I3:I7" si="4">MIN(G3,B3)</f>
        <v>50</v>
      </c>
      <c r="J3">
        <f t="shared" ref="J3:J7" si="5">G3-I3</f>
        <v>100</v>
      </c>
    </row>
    <row r="4" spans="1:11" x14ac:dyDescent="0.2">
      <c r="A4">
        <v>3</v>
      </c>
      <c r="B4">
        <v>50</v>
      </c>
      <c r="C4">
        <f t="shared" ref="C4:C7" si="6">F3+D3</f>
        <v>100</v>
      </c>
      <c r="D4">
        <f t="shared" si="0"/>
        <v>100</v>
      </c>
      <c r="E4">
        <f t="shared" si="1"/>
        <v>50</v>
      </c>
      <c r="F4">
        <f t="shared" si="2"/>
        <v>50</v>
      </c>
      <c r="G4">
        <f t="shared" ref="G4:G7" si="7">J3+H3</f>
        <v>100</v>
      </c>
      <c r="H4">
        <f t="shared" si="3"/>
        <v>100</v>
      </c>
      <c r="I4">
        <f t="shared" si="4"/>
        <v>50</v>
      </c>
      <c r="J4">
        <f t="shared" si="5"/>
        <v>50</v>
      </c>
    </row>
    <row r="5" spans="1:11" x14ac:dyDescent="0.2">
      <c r="A5">
        <v>4</v>
      </c>
      <c r="B5">
        <v>50</v>
      </c>
      <c r="C5">
        <f t="shared" si="6"/>
        <v>150</v>
      </c>
      <c r="D5">
        <f t="shared" si="0"/>
        <v>0</v>
      </c>
      <c r="E5">
        <f t="shared" si="1"/>
        <v>50</v>
      </c>
      <c r="F5">
        <f t="shared" si="2"/>
        <v>100</v>
      </c>
      <c r="G5">
        <f t="shared" si="7"/>
        <v>150</v>
      </c>
      <c r="H5">
        <f t="shared" si="3"/>
        <v>0</v>
      </c>
      <c r="I5">
        <f t="shared" si="4"/>
        <v>50</v>
      </c>
      <c r="J5">
        <f t="shared" si="5"/>
        <v>100</v>
      </c>
    </row>
    <row r="6" spans="1:11" x14ac:dyDescent="0.2">
      <c r="A6">
        <v>5</v>
      </c>
      <c r="B6">
        <v>50</v>
      </c>
      <c r="C6">
        <f t="shared" si="6"/>
        <v>100</v>
      </c>
      <c r="D6">
        <f t="shared" si="0"/>
        <v>100</v>
      </c>
      <c r="E6">
        <f t="shared" si="1"/>
        <v>50</v>
      </c>
      <c r="F6">
        <f t="shared" si="2"/>
        <v>50</v>
      </c>
      <c r="G6">
        <f t="shared" si="7"/>
        <v>100</v>
      </c>
      <c r="H6">
        <f t="shared" si="3"/>
        <v>100</v>
      </c>
      <c r="I6">
        <f t="shared" si="4"/>
        <v>50</v>
      </c>
      <c r="J6">
        <f t="shared" si="5"/>
        <v>50</v>
      </c>
    </row>
    <row r="7" spans="1:11" x14ac:dyDescent="0.2">
      <c r="A7">
        <v>6</v>
      </c>
      <c r="B7">
        <v>50</v>
      </c>
      <c r="C7">
        <f t="shared" si="6"/>
        <v>150</v>
      </c>
      <c r="D7">
        <f t="shared" si="0"/>
        <v>0</v>
      </c>
      <c r="E7">
        <f t="shared" si="1"/>
        <v>50</v>
      </c>
      <c r="F7">
        <f t="shared" si="2"/>
        <v>100</v>
      </c>
      <c r="G7">
        <f t="shared" si="7"/>
        <v>150</v>
      </c>
      <c r="H7">
        <f t="shared" si="3"/>
        <v>0</v>
      </c>
      <c r="I7">
        <f t="shared" si="4"/>
        <v>50</v>
      </c>
      <c r="J7">
        <f t="shared" si="5"/>
        <v>100</v>
      </c>
    </row>
    <row r="9" spans="1:11" x14ac:dyDescent="0.2">
      <c r="D9">
        <f>SUM(D2:D7)</f>
        <v>300</v>
      </c>
      <c r="F9">
        <f>F7</f>
        <v>100</v>
      </c>
      <c r="H9">
        <f>SUM(H2:H7)</f>
        <v>300</v>
      </c>
      <c r="J9">
        <f>J7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Check1</vt:lpstr>
      <vt:lpstr>Milk</vt:lpstr>
      <vt:lpstr>C4</vt:lpstr>
      <vt:lpstr>C5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Unika Maharjan</dc:creator>
  <cp:lastModifiedBy>Unika Maharjan</cp:lastModifiedBy>
  <dcterms:created xsi:type="dcterms:W3CDTF">2026-10-05T23:17:27Z</dcterms:created>
  <dcterms:modified xsi:type="dcterms:W3CDTF">2026-10-05T23:50:45Z</dcterms:modified>
</cp:coreProperties>
</file>